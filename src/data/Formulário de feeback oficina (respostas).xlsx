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27FC84A7-98DA-42DF-A655-A36FEE0B6E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postas ao formulário 1" sheetId="1" r:id="rId1"/>
    <sheet name="consolidação das respos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K19" i="2"/>
  <c r="K18" i="2"/>
  <c r="F18" i="2"/>
  <c r="K17" i="2"/>
  <c r="K16" i="2"/>
  <c r="C16" i="2"/>
  <c r="K10" i="2"/>
  <c r="J10" i="2"/>
  <c r="I10" i="2"/>
  <c r="F10" i="2"/>
  <c r="C8" i="2"/>
</calcChain>
</file>

<file path=xl/sharedStrings.xml><?xml version="1.0" encoding="utf-8"?>
<sst xmlns="http://schemas.openxmlformats.org/spreadsheetml/2006/main" count="430" uniqueCount="224">
  <si>
    <t>Carimbo de data/hora</t>
  </si>
  <si>
    <t>Qual a sua idade?</t>
  </si>
  <si>
    <t xml:space="preserve">Em qual ano do ensino médio você está? </t>
  </si>
  <si>
    <t xml:space="preserve">Antes da oficina, como você classificaria seu interesse por áreas de STEM (Ciência, Tecnologia, Engenharia e Matemática)?  </t>
  </si>
  <si>
    <t xml:space="preserve">Você já participou de alguma outra atividade, curso ou oficina relacionada a áreas de STEM antes desta? </t>
  </si>
  <si>
    <t xml:space="preserve">Qual área de estudo ou carreira você está considerando para o futuro? </t>
  </si>
  <si>
    <t xml:space="preserve">Em uma escala de 1 a 5, como você avalia a relevância dos temas abordados na oficina para o seu interesse pessoal? </t>
  </si>
  <si>
    <t xml:space="preserve">Em uma escala de 1 a 5, como você avalia a clareza das explicações dadas durante a oficina?  </t>
  </si>
  <si>
    <t xml:space="preserve">Em uma escala de 1 a 5, como você avalia a sua compreensão sobre o tema "Pixel e Algoritmos" após a oficina? </t>
  </si>
  <si>
    <t>Qual foi o nível das atividades?</t>
  </si>
  <si>
    <t>Após participar da oficina, o quanto seu interesse por áreas de STEM (Ciência, Tecnologia, Engenharia e Matemática) aumentou? (1 a 5)</t>
  </si>
  <si>
    <t xml:space="preserve">Após participar da oficina, você considera seguir uma carreira em alguma área de STEM? </t>
  </si>
  <si>
    <t xml:space="preserve">Em uma escala de 1 a 5, quão aplicáveis você considera os conhecimentos adquiridos nesta oficina para o seu futuro acadêmico ou profissional? </t>
  </si>
  <si>
    <t xml:space="preserve">O que você mais gostou na oficina? </t>
  </si>
  <si>
    <t xml:space="preserve">De que forma a oficina influenciou sua percepção sobre as áreas de STEM? </t>
  </si>
  <si>
    <t>Como você acha que podemos melhorar?</t>
  </si>
  <si>
    <t xml:space="preserve">Tem algum comentário adicional ou sugestão sobre as oficinas? </t>
  </si>
  <si>
    <t xml:space="preserve">Em uma escala de 0 a 10, o quanto você recomendaria esta oficina a uma amiga interessada em STEM?  </t>
  </si>
  <si>
    <t>3º ano</t>
  </si>
  <si>
    <t>Muito interessada</t>
  </si>
  <si>
    <t>Não</t>
  </si>
  <si>
    <t>Tecnologia (Informática, Programação)</t>
  </si>
  <si>
    <t>Fácil</t>
  </si>
  <si>
    <t>De saber como é a conversão de decimal para binário e vice-versa.</t>
  </si>
  <si>
    <t>Deixou mais claro.</t>
  </si>
  <si>
    <t xml:space="preserve">Acho que está ótimo </t>
  </si>
  <si>
    <t>Não, achei muito bom.</t>
  </si>
  <si>
    <t>Ciência (Física, Química, Biologia)</t>
  </si>
  <si>
    <t>das dinâmicas e aprender sobre os números binários! muito legal!</t>
  </si>
  <si>
    <t>a oficina fez com que eu tivesse mais curiosidade sobre a área de STEM e valorizasse a presença de mulheres nessa área!</t>
  </si>
  <si>
    <t>achei que tudo foi ótimo!</t>
  </si>
  <si>
    <t>nãoo!!</t>
  </si>
  <si>
    <t>Neutra</t>
  </si>
  <si>
    <t xml:space="preserve">medicina </t>
  </si>
  <si>
    <t xml:space="preserve">as dinâmicas </t>
  </si>
  <si>
    <t xml:space="preserve">achei mais interessante </t>
  </si>
  <si>
    <t xml:space="preserve">está tudo ótimo </t>
  </si>
  <si>
    <t>.</t>
  </si>
  <si>
    <t>Pouco interessada</t>
  </si>
  <si>
    <t xml:space="preserve">Gostei das atividades </t>
  </si>
  <si>
    <t xml:space="preserve">A oficina me fez perceber o quanto é uma área interessante </t>
  </si>
  <si>
    <t>Tá tudo perfeito!</t>
  </si>
  <si>
    <t>Amei a oficina!</t>
  </si>
  <si>
    <t>Sim</t>
  </si>
  <si>
    <t>As atividades interativas, como a da árvore</t>
  </si>
  <si>
    <t xml:space="preserve">Me influenciou a casa vez ser melhor na computação </t>
  </si>
  <si>
    <t xml:space="preserve">Mais práticas </t>
  </si>
  <si>
    <t>Nada interessada</t>
  </si>
  <si>
    <t xml:space="preserve">Arquitetura </t>
  </si>
  <si>
    <t xml:space="preserve">Das praticas </t>
  </si>
  <si>
    <t xml:space="preserve">Deixou mais claro e ampliou meu conhecimento </t>
  </si>
  <si>
    <t>Foi tudo ótimo!</t>
  </si>
  <si>
    <t xml:space="preserve">Nenhum </t>
  </si>
  <si>
    <t>Interessada</t>
  </si>
  <si>
    <t>Gostei do objetivo do projeto e da maneira em que foi apresentado, com muita clareza nas ideias</t>
  </si>
  <si>
    <t>Ampliou minha perspectiva da falta de mulheres de STEM</t>
  </si>
  <si>
    <t xml:space="preserve">Não tenho comentários, gostei muito </t>
  </si>
  <si>
    <t xml:space="preserve">não </t>
  </si>
  <si>
    <t>Ainda não decidi</t>
  </si>
  <si>
    <t>As atividades que fizemos depois de aprender a teoria do sistema binário.</t>
  </si>
  <si>
    <t>A oficina melhorou e aperfeiçoou minha percepção sobre as áreas de STEM, pois consegui entender melhor o que se estuda e com o quê se trabalha.</t>
  </si>
  <si>
    <t>Para mim está excelente!</t>
  </si>
  <si>
    <t>Não. Gostei bastante da dinâmica!!</t>
  </si>
  <si>
    <t>Artes visuais</t>
  </si>
  <si>
    <t>Desafios</t>
  </si>
  <si>
    <t>Quebrou estereótipos ruins.</t>
  </si>
  <si>
    <t>Podia ser mais difícil.</t>
  </si>
  <si>
    <t>Não:)</t>
  </si>
  <si>
    <t>Matemática</t>
  </si>
  <si>
    <t>Médio</t>
  </si>
  <si>
    <t xml:space="preserve">gostei mto das atividades práticas </t>
  </si>
  <si>
    <t xml:space="preserve">Eu tenho uma ideia da área de STEAM como um grande confusão de números na minha cabeça, então a oficina me mostrou que na verdade eles tem um sentido </t>
  </si>
  <si>
    <t xml:space="preserve">Acredito que as alunas devem estar um pouco mais confiantes na hora de falar pra gente conseguir entender melhor. </t>
  </si>
  <si>
    <t>Seria bem interessante vocês falarem sobre as aplicações da computação no dia a dia, como diferencial de um profissional (mesmo que não siga essa área).</t>
  </si>
  <si>
    <t>Aprender sobre a conversão do número decimal para o código binário.</t>
  </si>
  <si>
    <t>A oficina influenciou minha percepção sobre as áreas de STEM de forma positiva, ampliou meu entendimento sobre o assunto no qual desconhecia quase que completamente.</t>
  </si>
  <si>
    <t>Por mim a oficina está ótima</t>
  </si>
  <si>
    <t>No momento não.</t>
  </si>
  <si>
    <t>Eu adorei a explicação mais clara de como funcionava o sistema de potências e as atividades para frisar melhor o conteúdo.</t>
  </si>
  <si>
    <t>Influenciou positivamente, já que me fez cogitar a possibilidade de cursar algo nessa área.</t>
  </si>
  <si>
    <t>Não tenho nada a dizer, gostei muito de como foi apresentado! O tema é muito difícil de explicar e eu acredito que vocês fizeram isso com muita excelência.</t>
  </si>
  <si>
    <t>Mais atividades práticas.</t>
  </si>
  <si>
    <t>2º ano</t>
  </si>
  <si>
    <t>Atividades propostas</t>
  </si>
  <si>
    <t xml:space="preserve">Entender mais a área </t>
  </si>
  <si>
    <t xml:space="preserve">Mais clareza nas explicações </t>
  </si>
  <si>
    <t>Propor atividades praticas</t>
  </si>
  <si>
    <t>1º ano</t>
  </si>
  <si>
    <t>as atividades</t>
  </si>
  <si>
    <t>eu n sabia como era</t>
  </si>
  <si>
    <t xml:space="preserve">acho q está ótimo </t>
  </si>
  <si>
    <t>Engenharia (Civil, Elétrica, Mecânica, etc.)</t>
  </si>
  <si>
    <t xml:space="preserve">A atenção que recebemos ao fazer as atividades e a clareza ao explicar. </t>
  </si>
  <si>
    <t xml:space="preserve">Me ajudou a compreender coisas que nunca entendi. </t>
  </si>
  <si>
    <t xml:space="preserve">Gostei muito, acredito que não tenha o que melhorar. </t>
  </si>
  <si>
    <t xml:space="preserve">Não </t>
  </si>
  <si>
    <t>As meninas foram super atenciosas conosco e as dinâmicas foram excelentes.</t>
  </si>
  <si>
    <t xml:space="preserve">Me ajudou a entender melhor. </t>
  </si>
  <si>
    <t xml:space="preserve">Gostei de tudo, na minha visão não há nada que poderia ter sido melhor. </t>
  </si>
  <si>
    <t xml:space="preserve">Não. </t>
  </si>
  <si>
    <t xml:space="preserve">as atividades </t>
  </si>
  <si>
    <t>me fez gostar mais</t>
  </si>
  <si>
    <t xml:space="preserve">nao precisa </t>
  </si>
  <si>
    <t xml:space="preserve">muito legal, entendi mais que esperava </t>
  </si>
  <si>
    <t>Das professoras super educadas e didáticas.</t>
  </si>
  <si>
    <t>Conhecer mais da área de STEM.</t>
  </si>
  <si>
    <t>Atividades mais difíceis.</t>
  </si>
  <si>
    <t>Não.</t>
  </si>
  <si>
    <t xml:space="preserve">gostei do tema </t>
  </si>
  <si>
    <t xml:space="preserve">não sabia como que era </t>
  </si>
  <si>
    <t xml:space="preserve">gostei de tudo </t>
  </si>
  <si>
    <t xml:space="preserve">ter mais aulas </t>
  </si>
  <si>
    <t xml:space="preserve">As atividades </t>
  </si>
  <si>
    <t>Achei mais legal as áreas de STEM</t>
  </si>
  <si>
    <t xml:space="preserve">Saber como funciona os números binários </t>
  </si>
  <si>
    <t xml:space="preserve">Atividades praticais </t>
  </si>
  <si>
    <t>Nao</t>
  </si>
  <si>
    <t xml:space="preserve">fiquei mais interessada sobre </t>
  </si>
  <si>
    <t xml:space="preserve">atividades práticas </t>
  </si>
  <si>
    <t>das dinâmicas propostas.</t>
  </si>
  <si>
    <t>me incentivando a saber mais sobre a área.</t>
  </si>
  <si>
    <t>mais tempo de aula.</t>
  </si>
  <si>
    <t>dinâmicas muito interessantes.</t>
  </si>
  <si>
    <t>Medicina</t>
  </si>
  <si>
    <t xml:space="preserve">Achei muito interessante os slides informativos </t>
  </si>
  <si>
    <t xml:space="preserve">Me influenciou de forma positiva </t>
  </si>
  <si>
    <t xml:space="preserve">Nn precisa melhorar </t>
  </si>
  <si>
    <t>Adorei as balinhas no final</t>
  </si>
  <si>
    <t xml:space="preserve">atividades </t>
  </si>
  <si>
    <t xml:space="preserve">passei a pensar bem melhor a respeito </t>
  </si>
  <si>
    <t xml:space="preserve">explicações </t>
  </si>
  <si>
    <t>não!!!</t>
  </si>
  <si>
    <t xml:space="preserve">Das atividades propostas </t>
  </si>
  <si>
    <t xml:space="preserve">Me incentivou a aprender mais sobre o tema proposto </t>
  </si>
  <si>
    <t xml:space="preserve">Mais aulas </t>
  </si>
  <si>
    <t xml:space="preserve">Não tenho </t>
  </si>
  <si>
    <t>Gostei de aprender sobre os códigos!</t>
  </si>
  <si>
    <t>A oficina me fez sentir mais próxima dessa área e me permitiu entender sobre também.</t>
  </si>
  <si>
    <t>Explicação mais detalhada</t>
  </si>
  <si>
    <t>Gostei muito, meninas! Vocês são umas fofas!</t>
  </si>
  <si>
    <t>Achei super interessante as atividades feitas em sala (ps amei as balas)</t>
  </si>
  <si>
    <t xml:space="preserve">De uma forma muito positiva </t>
  </si>
  <si>
    <t xml:space="preserve">Não precisa! </t>
  </si>
  <si>
    <t>Façam mais pff</t>
  </si>
  <si>
    <t>Assuntos</t>
  </si>
  <si>
    <t>Despertou curiosidades</t>
  </si>
  <si>
    <t xml:space="preserve">Tudo perfeito </t>
  </si>
  <si>
    <t>Aprender como usar o código binário</t>
  </si>
  <si>
    <t>É mais simples do que eu pensei</t>
  </si>
  <si>
    <t>As partes práticas e atividades</t>
  </si>
  <si>
    <t xml:space="preserve">No entendimento de binário </t>
  </si>
  <si>
    <t>Nada, foi perfeito</t>
  </si>
  <si>
    <t>as atividades super interativas</t>
  </si>
  <si>
    <t xml:space="preserve">me pareceu mais  entendível </t>
  </si>
  <si>
    <t xml:space="preserve">microfones talvez, apresentar os slides na frente também, além de distribuir </t>
  </si>
  <si>
    <t>muito simpáticas</t>
  </si>
  <si>
    <t xml:space="preserve">economia ou gestão de dados </t>
  </si>
  <si>
    <t>gostei das atividades</t>
  </si>
  <si>
    <t xml:space="preserve">aprendi mais sobre o tema pois não sabia traduzir os números binários </t>
  </si>
  <si>
    <t xml:space="preserve">Acredito que mais explicação e menos prática </t>
  </si>
  <si>
    <t xml:space="preserve">Gostei muito das meninas, extremamente simpáticas e dispostas a explicar </t>
  </si>
  <si>
    <t xml:space="preserve">ADM </t>
  </si>
  <si>
    <t xml:space="preserve">das atividades </t>
  </si>
  <si>
    <t xml:space="preserve">mais fácil de compreender </t>
  </si>
  <si>
    <t xml:space="preserve">falar mais alto </t>
  </si>
  <si>
    <t xml:space="preserve">divertido </t>
  </si>
  <si>
    <t xml:space="preserve">ficou mais fácil de entender </t>
  </si>
  <si>
    <t>Tendo microfones e apresentação de slides</t>
  </si>
  <si>
    <t>Design</t>
  </si>
  <si>
    <t xml:space="preserve">Eu gostei do jogo interativo scratch </t>
  </si>
  <si>
    <t>Me trouxe mais clareza sobre STEM</t>
  </si>
  <si>
    <t>Foi divertido</t>
  </si>
  <si>
    <t>O conteudo</t>
  </si>
  <si>
    <t>Todas as formas</t>
  </si>
  <si>
    <t>Tá ótimo ja</t>
  </si>
  <si>
    <t>economia</t>
  </si>
  <si>
    <t>Gostei da explicação e do carisma das professoras</t>
  </si>
  <si>
    <t>Aprendi uma nova ferramenta</t>
  </si>
  <si>
    <t>Gostei bastante da explicação de hoje</t>
  </si>
  <si>
    <t>design</t>
  </si>
  <si>
    <t>figms</t>
  </si>
  <si>
    <t xml:space="preserve">das atividades que estimulam a criatividade </t>
  </si>
  <si>
    <t xml:space="preserve">achei mais compreensível, tinha mai medo dessa área </t>
  </si>
  <si>
    <t xml:space="preserve">microfones talvez </t>
  </si>
  <si>
    <t xml:space="preserve">muito simpáticas as meninas, ótimo trabalho </t>
  </si>
  <si>
    <t xml:space="preserve">adm </t>
  </si>
  <si>
    <t xml:space="preserve">consegui ter um pouco mais de interesse </t>
  </si>
  <si>
    <t xml:space="preserve">está ótimo assim </t>
  </si>
  <si>
    <t>respondentes:</t>
  </si>
  <si>
    <t>Escala likert</t>
  </si>
  <si>
    <t>como você avalia a relevância dos temas abordados na oficina para o seu interesse pessoal?</t>
  </si>
  <si>
    <t>como você avalia a clareza das explicações dadas durante a oficina?</t>
  </si>
  <si>
    <t>como você avalia a sua compreensão sobre o tema "Pixel e Algoritmos" após a oficina?</t>
  </si>
  <si>
    <t>Alunas</t>
  </si>
  <si>
    <t>interesse - antes</t>
  </si>
  <si>
    <t>muito interessada</t>
  </si>
  <si>
    <t>interessada</t>
  </si>
  <si>
    <t>neutra</t>
  </si>
  <si>
    <t>pouco interessada</t>
  </si>
  <si>
    <t>idade: varia de 15 a 18 anos</t>
  </si>
  <si>
    <t>nada interessada</t>
  </si>
  <si>
    <t>total</t>
  </si>
  <si>
    <t>Total</t>
  </si>
  <si>
    <t>nível atividades</t>
  </si>
  <si>
    <t>interesse - depois</t>
  </si>
  <si>
    <t>muito interessada - 5</t>
  </si>
  <si>
    <t>interessada - 4</t>
  </si>
  <si>
    <t>Difícil</t>
  </si>
  <si>
    <t>neutra - 3</t>
  </si>
  <si>
    <t>2 passaram para neutra</t>
  </si>
  <si>
    <t>NPS = Net Promoter Score</t>
  </si>
  <si>
    <t>quantidade</t>
  </si>
  <si>
    <t>%</t>
  </si>
  <si>
    <t>pouco interessada - 2</t>
  </si>
  <si>
    <t>nada interessada - 1</t>
  </si>
  <si>
    <t>fórmula: NPS = Promotores – Detratores</t>
  </si>
  <si>
    <t>Promotores (9-10)</t>
  </si>
  <si>
    <t>escala = excelente</t>
  </si>
  <si>
    <t>Neutros (7-8)</t>
  </si>
  <si>
    <t>Detratores (0-6)</t>
  </si>
  <si>
    <t>Entre 75% e 100%: Excelente</t>
  </si>
  <si>
    <t>Entre 50% e 74%: Muito bom</t>
  </si>
  <si>
    <t>Entre 0% e 49%: Razoável</t>
  </si>
  <si>
    <t>Entre -100% e -1%: 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</si>
</sst>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202124"/>
      <name val="Verdana"/>
    </font>
    <font>
      <sz val="10"/>
      <name val="Arial"/>
    </font>
    <font>
      <sz val="12"/>
      <color rgb="FF181818"/>
      <name val="&quot;Salesforce Sans&quot;"/>
    </font>
    <font>
      <b/>
      <sz val="12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1F3F4"/>
        <bgColor rgb="FFF1F3F4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</fills>
  <borders count="1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2" borderId="10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0" xfId="0" applyFont="1" applyFill="1"/>
    <xf numFmtId="164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" fillId="2" borderId="0" xfId="0" applyFont="1" applyFill="1"/>
    <xf numFmtId="0" fontId="3" fillId="0" borderId="0" xfId="0" applyFont="1"/>
    <xf numFmtId="0" fontId="4" fillId="3" borderId="16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5" borderId="16" xfId="0" applyFont="1" applyFill="1" applyBorder="1"/>
    <xf numFmtId="0" fontId="1" fillId="6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0" borderId="0" xfId="0" applyFont="1"/>
    <xf numFmtId="0" fontId="1" fillId="4" borderId="0" xfId="0" applyFont="1" applyFill="1"/>
    <xf numFmtId="0" fontId="1" fillId="7" borderId="16" xfId="0" applyFont="1" applyFill="1" applyBorder="1"/>
    <xf numFmtId="0" fontId="1" fillId="0" borderId="16" xfId="0" applyFont="1" applyBorder="1"/>
    <xf numFmtId="0" fontId="1" fillId="8" borderId="0" xfId="0" applyFont="1" applyFill="1"/>
    <xf numFmtId="0" fontId="1" fillId="9" borderId="0" xfId="0" applyFont="1" applyFill="1"/>
    <xf numFmtId="0" fontId="6" fillId="0" borderId="0" xfId="0" applyFont="1"/>
    <xf numFmtId="0" fontId="1" fillId="10" borderId="16" xfId="0" applyFont="1" applyFill="1" applyBorder="1"/>
    <xf numFmtId="0" fontId="3" fillId="10" borderId="16" xfId="0" applyFont="1" applyFill="1" applyBorder="1"/>
    <xf numFmtId="0" fontId="7" fillId="0" borderId="0" xfId="0" applyFont="1"/>
    <xf numFmtId="0" fontId="1" fillId="0" borderId="2" xfId="0" applyFont="1" applyBorder="1" applyAlignment="1">
      <alignment horizontal="left" vertical="center" wrapText="1"/>
    </xf>
    <xf numFmtId="0" fontId="1" fillId="4" borderId="17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5" fillId="0" borderId="18" xfId="0" applyFont="1" applyBorder="1" applyAlignment="1"/>
    <xf numFmtId="0" fontId="3" fillId="7" borderId="17" xfId="0" applyFont="1" applyFill="1" applyBorder="1" applyAlignme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R42">
  <tableColumns count="18">
    <tableColumn id="1" xr3:uid="{00000000-0010-0000-0000-000001000000}" name="Carimbo de data/hora"/>
    <tableColumn id="2" xr3:uid="{00000000-0010-0000-0000-000002000000}" name="Qual a sua idade?"/>
    <tableColumn id="3" xr3:uid="{00000000-0010-0000-0000-000003000000}" name="Em qual ano do ensino médio você está? "/>
    <tableColumn id="4" xr3:uid="{00000000-0010-0000-0000-000004000000}" name="Antes da oficina, como você classificaria seu interesse por áreas de STEM (Ciência, Tecnologia, Engenharia e Matemática)?  "/>
    <tableColumn id="5" xr3:uid="{00000000-0010-0000-0000-000005000000}" name="Você já participou de alguma outra atividade, curso ou oficina relacionada a áreas de STEM antes desta? "/>
    <tableColumn id="6" xr3:uid="{00000000-0010-0000-0000-000006000000}" name="Qual área de estudo ou carreira você está considerando para o futuro? "/>
    <tableColumn id="7" xr3:uid="{00000000-0010-0000-0000-000007000000}" name="Em uma escala de 1 a 5, como você avalia a relevância dos temas abordados na oficina para o seu interesse pessoal? "/>
    <tableColumn id="8" xr3:uid="{00000000-0010-0000-0000-000008000000}" name="Em uma escala de 1 a 5, como você avalia a clareza das explicações dadas durante a oficina?  "/>
    <tableColumn id="9" xr3:uid="{00000000-0010-0000-0000-000009000000}" name="Em uma escala de 1 a 5, como você avalia a sua compreensão sobre o tema &quot;Pixel e Algoritmos&quot; após a oficina? "/>
    <tableColumn id="10" xr3:uid="{00000000-0010-0000-0000-00000A000000}" name="Qual foi o nível das atividades?"/>
    <tableColumn id="11" xr3:uid="{00000000-0010-0000-0000-00000B000000}" name="Após participar da oficina, o quanto seu interesse por áreas de STEM (Ciência, Tecnologia, Engenharia e Matemática) aumentou? (1 a 5)"/>
    <tableColumn id="12" xr3:uid="{00000000-0010-0000-0000-00000C000000}" name="Após participar da oficina, você considera seguir uma carreira em alguma área de STEM? "/>
    <tableColumn id="13" xr3:uid="{00000000-0010-0000-0000-00000D000000}" name="Em uma escala de 1 a 5, quão aplicáveis você considera os conhecimentos adquiridos nesta oficina para o seu futuro acadêmico ou profissional? "/>
    <tableColumn id="14" xr3:uid="{00000000-0010-0000-0000-00000E000000}" name="O que você mais gostou na oficina? "/>
    <tableColumn id="15" xr3:uid="{00000000-0010-0000-0000-00000F000000}" name="De que forma a oficina influenciou sua percepção sobre as áreas de STEM? "/>
    <tableColumn id="16" xr3:uid="{00000000-0010-0000-0000-000010000000}" name="Como você acha que podemos melhorar?"/>
    <tableColumn id="17" xr3:uid="{00000000-0010-0000-0000-000011000000}" name="Tem algum comentário adicional ou sugestão sobre as oficinas? "/>
    <tableColumn id="18" xr3:uid="{00000000-0010-0000-0000-000012000000}" name="Em uma escala de 0 a 10, o quanto você recomendaria esta oficina a uma amiga interessada em STEM?  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2"/>
  <sheetViews>
    <sheetView tabSelected="1" workbookViewId="0">
      <pane ySplit="1" topLeftCell="L2" activePane="bottomLeft" state="frozen"/>
      <selection pane="bottomLeft" activeCell="B40" sqref="B40"/>
    </sheetView>
  </sheetViews>
  <sheetFormatPr defaultColWidth="12.5703125" defaultRowHeight="15.75" customHeight="1"/>
  <cols>
    <col min="1" max="10" width="56" customWidth="1"/>
    <col min="11" max="11" width="117.85546875" bestFit="1" customWidth="1"/>
    <col min="12" max="12" width="78" bestFit="1" customWidth="1"/>
    <col min="13" max="18" width="56" customWidth="1"/>
    <col min="19" max="24" width="18.85546875" customWidth="1"/>
  </cols>
  <sheetData>
    <row r="1" spans="1:18" ht="24">
      <c r="A1" s="1" t="s">
        <v>0</v>
      </c>
      <c r="B1" s="2" t="s">
        <v>1</v>
      </c>
      <c r="C1" s="2" t="s">
        <v>2</v>
      </c>
      <c r="D1" s="3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6" t="s">
        <v>14</v>
      </c>
      <c r="P1" s="2" t="s">
        <v>15</v>
      </c>
      <c r="Q1" s="2" t="s">
        <v>16</v>
      </c>
      <c r="R1" s="3" t="s">
        <v>17</v>
      </c>
    </row>
    <row r="2" spans="1:18">
      <c r="A2" s="4">
        <v>45454.599910509263</v>
      </c>
      <c r="B2" s="5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>
        <v>5</v>
      </c>
      <c r="H2" s="5">
        <v>5</v>
      </c>
      <c r="I2" s="5">
        <v>5</v>
      </c>
      <c r="J2" s="5" t="s">
        <v>22</v>
      </c>
      <c r="K2" s="5">
        <v>5</v>
      </c>
      <c r="L2" s="5">
        <v>5</v>
      </c>
      <c r="M2" s="5">
        <v>5</v>
      </c>
      <c r="N2" s="5" t="s">
        <v>23</v>
      </c>
      <c r="O2" s="5" t="s">
        <v>24</v>
      </c>
      <c r="P2" s="5" t="s">
        <v>25</v>
      </c>
      <c r="Q2" s="5" t="s">
        <v>26</v>
      </c>
      <c r="R2" s="6">
        <v>10</v>
      </c>
    </row>
    <row r="3" spans="1:18">
      <c r="A3" s="7">
        <v>45454.600035011579</v>
      </c>
      <c r="B3" s="8">
        <v>17</v>
      </c>
      <c r="C3" s="8" t="s">
        <v>18</v>
      </c>
      <c r="D3" s="8" t="s">
        <v>19</v>
      </c>
      <c r="E3" s="8" t="s">
        <v>20</v>
      </c>
      <c r="F3" s="8" t="s">
        <v>27</v>
      </c>
      <c r="G3" s="8">
        <v>5</v>
      </c>
      <c r="H3" s="8">
        <v>5</v>
      </c>
      <c r="I3" s="8">
        <v>5</v>
      </c>
      <c r="J3" s="8" t="s">
        <v>22</v>
      </c>
      <c r="K3" s="8">
        <v>5</v>
      </c>
      <c r="L3" s="8">
        <v>5</v>
      </c>
      <c r="M3" s="8">
        <v>5</v>
      </c>
      <c r="N3" s="8" t="s">
        <v>28</v>
      </c>
      <c r="O3" s="8" t="s">
        <v>29</v>
      </c>
      <c r="P3" s="8" t="s">
        <v>30</v>
      </c>
      <c r="Q3" s="8" t="s">
        <v>31</v>
      </c>
      <c r="R3" s="9">
        <v>10</v>
      </c>
    </row>
    <row r="4" spans="1:18">
      <c r="A4" s="4">
        <v>45454.600369108797</v>
      </c>
      <c r="B4" s="5">
        <v>17</v>
      </c>
      <c r="C4" s="5" t="s">
        <v>18</v>
      </c>
      <c r="D4" s="5" t="s">
        <v>32</v>
      </c>
      <c r="E4" s="5" t="s">
        <v>20</v>
      </c>
      <c r="F4" s="5" t="s">
        <v>33</v>
      </c>
      <c r="G4" s="5">
        <v>3</v>
      </c>
      <c r="H4" s="5">
        <v>5</v>
      </c>
      <c r="I4" s="5">
        <v>4</v>
      </c>
      <c r="J4" s="5" t="s">
        <v>22</v>
      </c>
      <c r="K4" s="5">
        <v>4</v>
      </c>
      <c r="L4" s="5">
        <v>2</v>
      </c>
      <c r="M4" s="5">
        <v>2</v>
      </c>
      <c r="N4" s="5" t="s">
        <v>34</v>
      </c>
      <c r="O4" s="5" t="s">
        <v>35</v>
      </c>
      <c r="P4" s="5" t="s">
        <v>36</v>
      </c>
      <c r="Q4" s="5" t="s">
        <v>37</v>
      </c>
      <c r="R4" s="6">
        <v>10</v>
      </c>
    </row>
    <row r="5" spans="1:18">
      <c r="A5" s="7">
        <v>45454.600433472224</v>
      </c>
      <c r="B5" s="8">
        <v>17</v>
      </c>
      <c r="C5" s="8" t="s">
        <v>18</v>
      </c>
      <c r="D5" s="8" t="s">
        <v>38</v>
      </c>
      <c r="E5" s="8" t="s">
        <v>20</v>
      </c>
      <c r="F5" s="8" t="s">
        <v>27</v>
      </c>
      <c r="G5" s="8">
        <v>4</v>
      </c>
      <c r="H5" s="8">
        <v>5</v>
      </c>
      <c r="I5" s="8">
        <v>5</v>
      </c>
      <c r="J5" s="8" t="s">
        <v>22</v>
      </c>
      <c r="K5" s="8">
        <v>3</v>
      </c>
      <c r="L5" s="8">
        <v>1</v>
      </c>
      <c r="M5" s="8">
        <v>3</v>
      </c>
      <c r="N5" s="8" t="s">
        <v>39</v>
      </c>
      <c r="O5" s="8" t="s">
        <v>40</v>
      </c>
      <c r="P5" s="8" t="s">
        <v>41</v>
      </c>
      <c r="Q5" s="8" t="s">
        <v>42</v>
      </c>
      <c r="R5" s="9">
        <v>10</v>
      </c>
    </row>
    <row r="6" spans="1:18">
      <c r="A6" s="4">
        <v>45454.600543761575</v>
      </c>
      <c r="B6" s="5">
        <v>17</v>
      </c>
      <c r="C6" s="5" t="s">
        <v>18</v>
      </c>
      <c r="D6" s="5" t="s">
        <v>19</v>
      </c>
      <c r="E6" s="5" t="s">
        <v>43</v>
      </c>
      <c r="F6" s="5" t="s">
        <v>21</v>
      </c>
      <c r="G6" s="5">
        <v>5</v>
      </c>
      <c r="H6" s="5">
        <v>5</v>
      </c>
      <c r="I6" s="5">
        <v>5</v>
      </c>
      <c r="J6" s="5" t="s">
        <v>22</v>
      </c>
      <c r="K6" s="5">
        <v>5</v>
      </c>
      <c r="L6" s="5">
        <v>5</v>
      </c>
      <c r="M6" s="5">
        <v>5</v>
      </c>
      <c r="N6" s="5" t="s">
        <v>44</v>
      </c>
      <c r="O6" s="5" t="s">
        <v>45</v>
      </c>
      <c r="P6" s="5" t="s">
        <v>46</v>
      </c>
      <c r="Q6" s="5" t="s">
        <v>37</v>
      </c>
      <c r="R6" s="6">
        <v>10</v>
      </c>
    </row>
    <row r="7" spans="1:18">
      <c r="A7" s="7">
        <v>45454.60064694444</v>
      </c>
      <c r="B7" s="8">
        <v>17</v>
      </c>
      <c r="C7" s="8" t="s">
        <v>18</v>
      </c>
      <c r="D7" s="8" t="s">
        <v>47</v>
      </c>
      <c r="E7" s="8" t="s">
        <v>20</v>
      </c>
      <c r="F7" s="8" t="s">
        <v>48</v>
      </c>
      <c r="G7" s="8">
        <v>5</v>
      </c>
      <c r="H7" s="8">
        <v>5</v>
      </c>
      <c r="I7" s="8">
        <v>4</v>
      </c>
      <c r="J7" s="8" t="s">
        <v>22</v>
      </c>
      <c r="K7" s="8">
        <v>3</v>
      </c>
      <c r="L7" s="8">
        <v>2</v>
      </c>
      <c r="M7" s="8">
        <v>4</v>
      </c>
      <c r="N7" s="8" t="s">
        <v>49</v>
      </c>
      <c r="O7" s="8" t="s">
        <v>50</v>
      </c>
      <c r="P7" s="8" t="s">
        <v>51</v>
      </c>
      <c r="Q7" s="8" t="s">
        <v>52</v>
      </c>
      <c r="R7" s="9">
        <v>10</v>
      </c>
    </row>
    <row r="8" spans="1:18">
      <c r="A8" s="4">
        <v>45454.600888321758</v>
      </c>
      <c r="B8" s="5">
        <v>17</v>
      </c>
      <c r="C8" s="5" t="s">
        <v>18</v>
      </c>
      <c r="D8" s="5" t="s">
        <v>53</v>
      </c>
      <c r="E8" s="5" t="s">
        <v>20</v>
      </c>
      <c r="F8" s="5" t="s">
        <v>27</v>
      </c>
      <c r="G8" s="5">
        <v>4</v>
      </c>
      <c r="H8" s="5">
        <v>5</v>
      </c>
      <c r="I8" s="5">
        <v>5</v>
      </c>
      <c r="J8" s="5" t="s">
        <v>22</v>
      </c>
      <c r="K8" s="5">
        <v>3</v>
      </c>
      <c r="L8" s="5">
        <v>5</v>
      </c>
      <c r="M8" s="5">
        <v>3</v>
      </c>
      <c r="N8" s="5" t="s">
        <v>54</v>
      </c>
      <c r="O8" s="5" t="s">
        <v>55</v>
      </c>
      <c r="P8" s="5" t="s">
        <v>56</v>
      </c>
      <c r="Q8" s="5" t="s">
        <v>57</v>
      </c>
      <c r="R8" s="6">
        <v>10</v>
      </c>
    </row>
    <row r="9" spans="1:18">
      <c r="A9" s="7">
        <v>45454.601056053245</v>
      </c>
      <c r="B9" s="8">
        <v>17</v>
      </c>
      <c r="C9" s="8" t="s">
        <v>18</v>
      </c>
      <c r="D9" s="8" t="s">
        <v>19</v>
      </c>
      <c r="E9" s="8" t="s">
        <v>43</v>
      </c>
      <c r="F9" s="8" t="s">
        <v>58</v>
      </c>
      <c r="G9" s="8">
        <v>5</v>
      </c>
      <c r="H9" s="8">
        <v>5</v>
      </c>
      <c r="I9" s="8">
        <v>5</v>
      </c>
      <c r="J9" s="8" t="s">
        <v>22</v>
      </c>
      <c r="K9" s="8">
        <v>4</v>
      </c>
      <c r="L9" s="8">
        <v>4</v>
      </c>
      <c r="M9" s="8">
        <v>4</v>
      </c>
      <c r="N9" s="8" t="s">
        <v>59</v>
      </c>
      <c r="O9" s="8" t="s">
        <v>60</v>
      </c>
      <c r="P9" s="8" t="s">
        <v>61</v>
      </c>
      <c r="Q9" s="8" t="s">
        <v>62</v>
      </c>
      <c r="R9" s="9">
        <v>10</v>
      </c>
    </row>
    <row r="10" spans="1:18">
      <c r="A10" s="4">
        <v>45454.601157638885</v>
      </c>
      <c r="B10" s="5">
        <v>17</v>
      </c>
      <c r="C10" s="5" t="s">
        <v>18</v>
      </c>
      <c r="D10" s="5" t="s">
        <v>53</v>
      </c>
      <c r="E10" s="5" t="s">
        <v>43</v>
      </c>
      <c r="F10" s="5" t="s">
        <v>63</v>
      </c>
      <c r="G10" s="5">
        <v>5</v>
      </c>
      <c r="H10" s="5">
        <v>5</v>
      </c>
      <c r="I10" s="5">
        <v>5</v>
      </c>
      <c r="J10" s="5" t="s">
        <v>22</v>
      </c>
      <c r="K10" s="5">
        <v>4</v>
      </c>
      <c r="L10" s="5">
        <v>3</v>
      </c>
      <c r="M10" s="5">
        <v>3</v>
      </c>
      <c r="N10" s="5" t="s">
        <v>64</v>
      </c>
      <c r="O10" s="5" t="s">
        <v>65</v>
      </c>
      <c r="P10" s="5" t="s">
        <v>66</v>
      </c>
      <c r="Q10" s="5" t="s">
        <v>67</v>
      </c>
      <c r="R10" s="6">
        <v>10</v>
      </c>
    </row>
    <row r="11" spans="1:18">
      <c r="A11" s="7">
        <v>45454.601250844906</v>
      </c>
      <c r="B11" s="8">
        <v>17</v>
      </c>
      <c r="C11" s="8" t="s">
        <v>18</v>
      </c>
      <c r="D11" s="8" t="s">
        <v>53</v>
      </c>
      <c r="E11" s="8" t="s">
        <v>20</v>
      </c>
      <c r="F11" s="8" t="s">
        <v>68</v>
      </c>
      <c r="G11" s="8">
        <v>5</v>
      </c>
      <c r="H11" s="8">
        <v>4</v>
      </c>
      <c r="I11" s="8">
        <v>5</v>
      </c>
      <c r="J11" s="8" t="s">
        <v>69</v>
      </c>
      <c r="K11" s="8">
        <v>3</v>
      </c>
      <c r="L11" s="8">
        <v>2</v>
      </c>
      <c r="M11" s="8">
        <v>3</v>
      </c>
      <c r="N11" s="8" t="s">
        <v>70</v>
      </c>
      <c r="O11" s="8" t="s">
        <v>71</v>
      </c>
      <c r="P11" s="8" t="s">
        <v>72</v>
      </c>
      <c r="Q11" s="8" t="s">
        <v>73</v>
      </c>
      <c r="R11" s="9">
        <v>10</v>
      </c>
    </row>
    <row r="12" spans="1:18">
      <c r="A12" s="4">
        <v>45454.60146229167</v>
      </c>
      <c r="B12" s="5">
        <v>17</v>
      </c>
      <c r="C12" s="5" t="s">
        <v>18</v>
      </c>
      <c r="D12" s="5" t="s">
        <v>53</v>
      </c>
      <c r="E12" s="5" t="s">
        <v>20</v>
      </c>
      <c r="F12" s="5" t="s">
        <v>27</v>
      </c>
      <c r="G12" s="5">
        <v>5</v>
      </c>
      <c r="H12" s="5">
        <v>5</v>
      </c>
      <c r="I12" s="5">
        <v>5</v>
      </c>
      <c r="J12" s="5" t="s">
        <v>22</v>
      </c>
      <c r="K12" s="5">
        <v>3</v>
      </c>
      <c r="L12" s="5">
        <v>5</v>
      </c>
      <c r="M12" s="5">
        <v>5</v>
      </c>
      <c r="N12" s="5" t="s">
        <v>74</v>
      </c>
      <c r="O12" s="5" t="s">
        <v>75</v>
      </c>
      <c r="P12" s="5" t="s">
        <v>76</v>
      </c>
      <c r="Q12" s="5" t="s">
        <v>77</v>
      </c>
      <c r="R12" s="6">
        <v>10</v>
      </c>
    </row>
    <row r="13" spans="1:18">
      <c r="A13" s="7">
        <v>45454.605289317129</v>
      </c>
      <c r="B13" s="8">
        <v>18</v>
      </c>
      <c r="C13" s="8" t="s">
        <v>18</v>
      </c>
      <c r="D13" s="8" t="s">
        <v>53</v>
      </c>
      <c r="E13" s="8" t="s">
        <v>43</v>
      </c>
      <c r="F13" s="8" t="s">
        <v>27</v>
      </c>
      <c r="G13" s="8">
        <v>5</v>
      </c>
      <c r="H13" s="8">
        <v>5</v>
      </c>
      <c r="I13" s="8">
        <v>5</v>
      </c>
      <c r="J13" s="8" t="s">
        <v>22</v>
      </c>
      <c r="K13" s="8">
        <v>5</v>
      </c>
      <c r="L13" s="8">
        <v>3</v>
      </c>
      <c r="M13" s="8">
        <v>4</v>
      </c>
      <c r="N13" s="8" t="s">
        <v>78</v>
      </c>
      <c r="O13" s="8" t="s">
        <v>79</v>
      </c>
      <c r="P13" s="8" t="s">
        <v>80</v>
      </c>
      <c r="Q13" s="8" t="s">
        <v>81</v>
      </c>
      <c r="R13" s="9">
        <v>10</v>
      </c>
    </row>
    <row r="14" spans="1:18">
      <c r="A14" s="4">
        <v>45456.600094849535</v>
      </c>
      <c r="B14" s="5">
        <v>17</v>
      </c>
      <c r="C14" s="5" t="s">
        <v>82</v>
      </c>
      <c r="D14" s="5" t="s">
        <v>32</v>
      </c>
      <c r="E14" s="5" t="s">
        <v>20</v>
      </c>
      <c r="F14" s="5" t="s">
        <v>27</v>
      </c>
      <c r="G14" s="5">
        <v>3</v>
      </c>
      <c r="H14" s="5">
        <v>2</v>
      </c>
      <c r="I14" s="5">
        <v>3</v>
      </c>
      <c r="J14" s="5" t="s">
        <v>69</v>
      </c>
      <c r="K14" s="5">
        <v>3</v>
      </c>
      <c r="L14" s="5">
        <v>3</v>
      </c>
      <c r="M14" s="5">
        <v>4</v>
      </c>
      <c r="N14" s="5" t="s">
        <v>83</v>
      </c>
      <c r="O14" s="5" t="s">
        <v>84</v>
      </c>
      <c r="P14" s="5" t="s">
        <v>85</v>
      </c>
      <c r="Q14" s="5" t="s">
        <v>86</v>
      </c>
      <c r="R14" s="6">
        <v>7</v>
      </c>
    </row>
    <row r="15" spans="1:18">
      <c r="A15" s="7">
        <v>45456.600347962958</v>
      </c>
      <c r="B15" s="8">
        <v>15</v>
      </c>
      <c r="C15" s="8" t="s">
        <v>87</v>
      </c>
      <c r="D15" s="8" t="s">
        <v>32</v>
      </c>
      <c r="E15" s="8" t="s">
        <v>20</v>
      </c>
      <c r="F15" s="8" t="s">
        <v>27</v>
      </c>
      <c r="G15" s="8">
        <v>5</v>
      </c>
      <c r="H15" s="8">
        <v>5</v>
      </c>
      <c r="I15" s="8">
        <v>4</v>
      </c>
      <c r="J15" s="8" t="s">
        <v>69</v>
      </c>
      <c r="K15" s="8">
        <v>3</v>
      </c>
      <c r="L15" s="8">
        <v>2</v>
      </c>
      <c r="M15" s="8">
        <v>5</v>
      </c>
      <c r="N15" s="8" t="s">
        <v>88</v>
      </c>
      <c r="O15" s="8" t="s">
        <v>89</v>
      </c>
      <c r="P15" s="8" t="s">
        <v>90</v>
      </c>
      <c r="Q15" s="8" t="s">
        <v>57</v>
      </c>
      <c r="R15" s="9">
        <v>10</v>
      </c>
    </row>
    <row r="16" spans="1:18">
      <c r="A16" s="4">
        <v>45456.601277847221</v>
      </c>
      <c r="B16" s="5">
        <v>15</v>
      </c>
      <c r="C16" s="5" t="s">
        <v>87</v>
      </c>
      <c r="D16" s="5" t="s">
        <v>32</v>
      </c>
      <c r="E16" s="5" t="s">
        <v>20</v>
      </c>
      <c r="F16" s="5" t="s">
        <v>91</v>
      </c>
      <c r="G16" s="5">
        <v>4</v>
      </c>
      <c r="H16" s="5">
        <v>5</v>
      </c>
      <c r="I16" s="5">
        <v>5</v>
      </c>
      <c r="J16" s="5" t="s">
        <v>22</v>
      </c>
      <c r="K16" s="5">
        <v>4</v>
      </c>
      <c r="L16" s="5">
        <v>4</v>
      </c>
      <c r="M16" s="5">
        <v>2</v>
      </c>
      <c r="N16" s="5" t="s">
        <v>92</v>
      </c>
      <c r="O16" s="5" t="s">
        <v>93</v>
      </c>
      <c r="P16" s="5" t="s">
        <v>94</v>
      </c>
      <c r="Q16" s="5" t="s">
        <v>95</v>
      </c>
      <c r="R16" s="6">
        <v>10</v>
      </c>
    </row>
    <row r="17" spans="1:24">
      <c r="A17" s="7">
        <v>45456.601315127315</v>
      </c>
      <c r="B17" s="8">
        <v>15</v>
      </c>
      <c r="C17" s="8" t="s">
        <v>87</v>
      </c>
      <c r="D17" s="8" t="s">
        <v>32</v>
      </c>
      <c r="E17" s="8" t="s">
        <v>20</v>
      </c>
      <c r="F17" s="8" t="s">
        <v>27</v>
      </c>
      <c r="G17" s="8">
        <v>4</v>
      </c>
      <c r="H17" s="8">
        <v>5</v>
      </c>
      <c r="I17" s="8">
        <v>5</v>
      </c>
      <c r="J17" s="8" t="s">
        <v>22</v>
      </c>
      <c r="K17" s="8">
        <v>4</v>
      </c>
      <c r="L17" s="8">
        <v>4</v>
      </c>
      <c r="M17" s="8">
        <v>4</v>
      </c>
      <c r="N17" s="8" t="s">
        <v>96</v>
      </c>
      <c r="O17" s="8" t="s">
        <v>97</v>
      </c>
      <c r="P17" s="8" t="s">
        <v>98</v>
      </c>
      <c r="Q17" s="8" t="s">
        <v>99</v>
      </c>
      <c r="R17" s="9">
        <v>10</v>
      </c>
    </row>
    <row r="18" spans="1:24">
      <c r="A18" s="4">
        <v>45456.601387557872</v>
      </c>
      <c r="B18" s="5">
        <v>15</v>
      </c>
      <c r="C18" s="5" t="s">
        <v>87</v>
      </c>
      <c r="D18" s="5" t="s">
        <v>53</v>
      </c>
      <c r="E18" s="5" t="s">
        <v>20</v>
      </c>
      <c r="F18" s="5" t="s">
        <v>27</v>
      </c>
      <c r="G18" s="5">
        <v>5</v>
      </c>
      <c r="H18" s="5">
        <v>5</v>
      </c>
      <c r="I18" s="5">
        <v>4</v>
      </c>
      <c r="J18" s="5" t="s">
        <v>69</v>
      </c>
      <c r="K18" s="5">
        <v>4</v>
      </c>
      <c r="L18" s="5">
        <v>4</v>
      </c>
      <c r="M18" s="5">
        <v>3</v>
      </c>
      <c r="N18" s="5" t="s">
        <v>100</v>
      </c>
      <c r="O18" s="5" t="s">
        <v>101</v>
      </c>
      <c r="P18" s="5" t="s">
        <v>102</v>
      </c>
      <c r="Q18" s="5" t="s">
        <v>103</v>
      </c>
      <c r="R18" s="6">
        <v>10</v>
      </c>
    </row>
    <row r="19" spans="1:24">
      <c r="A19" s="7">
        <v>45456.601396180558</v>
      </c>
      <c r="B19" s="8">
        <v>17</v>
      </c>
      <c r="C19" s="8" t="s">
        <v>18</v>
      </c>
      <c r="D19" s="8" t="s">
        <v>32</v>
      </c>
      <c r="E19" s="8" t="s">
        <v>20</v>
      </c>
      <c r="F19" s="8" t="s">
        <v>58</v>
      </c>
      <c r="G19" s="8">
        <v>3</v>
      </c>
      <c r="H19" s="8">
        <v>5</v>
      </c>
      <c r="I19" s="8">
        <v>4</v>
      </c>
      <c r="J19" s="8" t="s">
        <v>22</v>
      </c>
      <c r="K19" s="8">
        <v>3</v>
      </c>
      <c r="L19" s="8">
        <v>3</v>
      </c>
      <c r="M19" s="8">
        <v>2</v>
      </c>
      <c r="N19" s="8" t="s">
        <v>104</v>
      </c>
      <c r="O19" s="8" t="s">
        <v>105</v>
      </c>
      <c r="P19" s="8" t="s">
        <v>106</v>
      </c>
      <c r="Q19" s="8" t="s">
        <v>107</v>
      </c>
      <c r="R19" s="9">
        <v>10</v>
      </c>
    </row>
    <row r="20" spans="1:24">
      <c r="A20" s="4">
        <v>45456.601548634259</v>
      </c>
      <c r="B20" s="5">
        <v>15</v>
      </c>
      <c r="C20" s="5" t="s">
        <v>87</v>
      </c>
      <c r="D20" s="5" t="s">
        <v>53</v>
      </c>
      <c r="E20" s="5" t="s">
        <v>20</v>
      </c>
      <c r="F20" s="5" t="s">
        <v>27</v>
      </c>
      <c r="G20" s="5">
        <v>5</v>
      </c>
      <c r="H20" s="5">
        <v>5</v>
      </c>
      <c r="I20" s="5">
        <v>4</v>
      </c>
      <c r="J20" s="5" t="s">
        <v>22</v>
      </c>
      <c r="K20" s="5">
        <v>2</v>
      </c>
      <c r="L20" s="5">
        <v>2</v>
      </c>
      <c r="M20" s="5">
        <v>3</v>
      </c>
      <c r="N20" s="5" t="s">
        <v>108</v>
      </c>
      <c r="O20" s="5" t="s">
        <v>109</v>
      </c>
      <c r="P20" s="5" t="s">
        <v>110</v>
      </c>
      <c r="Q20" s="5" t="s">
        <v>111</v>
      </c>
      <c r="R20" s="6">
        <v>10</v>
      </c>
    </row>
    <row r="21" spans="1:24">
      <c r="A21" s="7">
        <v>45456.601617546301</v>
      </c>
      <c r="B21" s="8">
        <v>16</v>
      </c>
      <c r="C21" s="8" t="s">
        <v>82</v>
      </c>
      <c r="D21" s="8" t="s">
        <v>38</v>
      </c>
      <c r="E21" s="8" t="s">
        <v>20</v>
      </c>
      <c r="F21" s="8" t="s">
        <v>27</v>
      </c>
      <c r="G21" s="8">
        <v>4</v>
      </c>
      <c r="H21" s="8">
        <v>4</v>
      </c>
      <c r="I21" s="8">
        <v>1</v>
      </c>
      <c r="J21" s="8" t="s">
        <v>69</v>
      </c>
      <c r="K21" s="8">
        <v>3</v>
      </c>
      <c r="L21" s="8">
        <v>2</v>
      </c>
      <c r="M21" s="8">
        <v>3</v>
      </c>
      <c r="N21" s="8" t="s">
        <v>112</v>
      </c>
      <c r="O21" s="8" t="s">
        <v>113</v>
      </c>
      <c r="P21" s="8" t="s">
        <v>37</v>
      </c>
      <c r="Q21" s="8" t="s">
        <v>57</v>
      </c>
      <c r="R21" s="9">
        <v>8</v>
      </c>
    </row>
    <row r="22" spans="1:24">
      <c r="A22" s="4">
        <v>45456.601887210651</v>
      </c>
      <c r="B22" s="5">
        <v>16</v>
      </c>
      <c r="C22" s="5" t="s">
        <v>82</v>
      </c>
      <c r="D22" s="5" t="s">
        <v>32</v>
      </c>
      <c r="E22" s="5" t="s">
        <v>43</v>
      </c>
      <c r="F22" s="5" t="s">
        <v>27</v>
      </c>
      <c r="G22" s="5">
        <v>3</v>
      </c>
      <c r="H22" s="5">
        <v>4</v>
      </c>
      <c r="I22" s="5">
        <v>1</v>
      </c>
      <c r="J22" s="5" t="s">
        <v>69</v>
      </c>
      <c r="K22" s="5">
        <v>4</v>
      </c>
      <c r="L22" s="5">
        <v>1</v>
      </c>
      <c r="M22" s="5">
        <v>4</v>
      </c>
      <c r="N22" s="5" t="s">
        <v>112</v>
      </c>
      <c r="O22" s="5" t="s">
        <v>114</v>
      </c>
      <c r="P22" s="5" t="s">
        <v>115</v>
      </c>
      <c r="Q22" s="5" t="s">
        <v>116</v>
      </c>
      <c r="R22" s="6">
        <v>10</v>
      </c>
    </row>
    <row r="23" spans="1:24">
      <c r="A23" s="7">
        <v>45456.601979490741</v>
      </c>
      <c r="B23" s="8">
        <v>16</v>
      </c>
      <c r="C23" s="8" t="s">
        <v>82</v>
      </c>
      <c r="D23" s="8" t="s">
        <v>32</v>
      </c>
      <c r="E23" s="8" t="s">
        <v>43</v>
      </c>
      <c r="F23" s="8" t="s">
        <v>58</v>
      </c>
      <c r="G23" s="8">
        <v>3</v>
      </c>
      <c r="H23" s="8">
        <v>4</v>
      </c>
      <c r="I23" s="8">
        <v>1</v>
      </c>
      <c r="J23" s="8" t="s">
        <v>69</v>
      </c>
      <c r="K23" s="8">
        <v>4</v>
      </c>
      <c r="L23" s="8">
        <v>2</v>
      </c>
      <c r="M23" s="8">
        <v>3</v>
      </c>
      <c r="N23" s="8" t="s">
        <v>100</v>
      </c>
      <c r="O23" s="8" t="s">
        <v>117</v>
      </c>
      <c r="P23" s="8" t="s">
        <v>118</v>
      </c>
      <c r="Q23" s="8" t="s">
        <v>37</v>
      </c>
      <c r="R23" s="9">
        <v>10</v>
      </c>
    </row>
    <row r="24" spans="1:24">
      <c r="A24" s="4">
        <v>45456.602755949076</v>
      </c>
      <c r="B24" s="5">
        <v>15</v>
      </c>
      <c r="C24" s="5" t="s">
        <v>87</v>
      </c>
      <c r="D24" s="5" t="s">
        <v>32</v>
      </c>
      <c r="E24" s="5" t="s">
        <v>20</v>
      </c>
      <c r="F24" s="5" t="s">
        <v>58</v>
      </c>
      <c r="G24" s="5">
        <v>4</v>
      </c>
      <c r="H24" s="5">
        <v>4</v>
      </c>
      <c r="I24" s="5">
        <v>5</v>
      </c>
      <c r="J24" s="5" t="s">
        <v>22</v>
      </c>
      <c r="K24" s="5">
        <v>3</v>
      </c>
      <c r="L24" s="5">
        <v>2</v>
      </c>
      <c r="M24" s="5">
        <v>3</v>
      </c>
      <c r="N24" s="5" t="s">
        <v>119</v>
      </c>
      <c r="O24" s="5" t="s">
        <v>120</v>
      </c>
      <c r="P24" s="5" t="s">
        <v>121</v>
      </c>
      <c r="Q24" s="5" t="s">
        <v>122</v>
      </c>
      <c r="R24" s="6">
        <v>10</v>
      </c>
    </row>
    <row r="25" spans="1:24">
      <c r="A25" s="7">
        <v>45456.602830069445</v>
      </c>
      <c r="B25" s="8">
        <v>15</v>
      </c>
      <c r="C25" s="8" t="s">
        <v>87</v>
      </c>
      <c r="D25" s="8" t="s">
        <v>53</v>
      </c>
      <c r="E25" s="8" t="s">
        <v>20</v>
      </c>
      <c r="F25" s="8" t="s">
        <v>123</v>
      </c>
      <c r="G25" s="8">
        <v>5</v>
      </c>
      <c r="H25" s="8">
        <v>5</v>
      </c>
      <c r="I25" s="8">
        <v>5</v>
      </c>
      <c r="J25" s="8" t="s">
        <v>22</v>
      </c>
      <c r="K25" s="8">
        <v>4</v>
      </c>
      <c r="L25" s="8">
        <v>3</v>
      </c>
      <c r="M25" s="8">
        <v>4</v>
      </c>
      <c r="N25" s="8" t="s">
        <v>124</v>
      </c>
      <c r="O25" s="8" t="s">
        <v>125</v>
      </c>
      <c r="P25" s="8" t="s">
        <v>126</v>
      </c>
      <c r="Q25" s="8" t="s">
        <v>127</v>
      </c>
      <c r="R25" s="9">
        <v>10</v>
      </c>
    </row>
    <row r="26" spans="1:24">
      <c r="A26" s="4">
        <v>45456.602868935181</v>
      </c>
      <c r="B26" s="5">
        <v>16</v>
      </c>
      <c r="C26" s="5" t="s">
        <v>82</v>
      </c>
      <c r="D26" s="5" t="s">
        <v>19</v>
      </c>
      <c r="E26" s="5" t="s">
        <v>20</v>
      </c>
      <c r="F26" s="5" t="s">
        <v>91</v>
      </c>
      <c r="G26" s="5">
        <v>3</v>
      </c>
      <c r="H26" s="5">
        <v>3</v>
      </c>
      <c r="I26" s="5">
        <v>3</v>
      </c>
      <c r="J26" s="5" t="s">
        <v>22</v>
      </c>
      <c r="K26" s="5">
        <v>3</v>
      </c>
      <c r="L26" s="5">
        <v>3</v>
      </c>
      <c r="M26" s="5">
        <v>3</v>
      </c>
      <c r="N26" s="5" t="s">
        <v>128</v>
      </c>
      <c r="O26" s="5" t="s">
        <v>129</v>
      </c>
      <c r="P26" s="5" t="s">
        <v>130</v>
      </c>
      <c r="Q26" s="5" t="s">
        <v>131</v>
      </c>
      <c r="R26" s="6">
        <v>7</v>
      </c>
    </row>
    <row r="27" spans="1:24">
      <c r="A27" s="7">
        <v>45456.602910995367</v>
      </c>
      <c r="B27" s="8">
        <v>15</v>
      </c>
      <c r="C27" s="8" t="s">
        <v>87</v>
      </c>
      <c r="D27" s="8" t="s">
        <v>32</v>
      </c>
      <c r="E27" s="8" t="s">
        <v>20</v>
      </c>
      <c r="F27" s="8" t="s">
        <v>58</v>
      </c>
      <c r="G27" s="8">
        <v>4</v>
      </c>
      <c r="H27" s="8">
        <v>4</v>
      </c>
      <c r="I27" s="8">
        <v>5</v>
      </c>
      <c r="J27" s="8" t="s">
        <v>22</v>
      </c>
      <c r="K27" s="8">
        <v>3</v>
      </c>
      <c r="L27" s="8">
        <v>2</v>
      </c>
      <c r="M27" s="8">
        <v>3</v>
      </c>
      <c r="N27" s="8" t="s">
        <v>132</v>
      </c>
      <c r="O27" s="8" t="s">
        <v>133</v>
      </c>
      <c r="P27" s="8" t="s">
        <v>134</v>
      </c>
      <c r="Q27" s="8" t="s">
        <v>135</v>
      </c>
      <c r="R27" s="9">
        <v>9</v>
      </c>
    </row>
    <row r="28" spans="1:24">
      <c r="A28" s="4">
        <v>45456.602946527782</v>
      </c>
      <c r="B28" s="5">
        <v>17</v>
      </c>
      <c r="C28" s="5" t="s">
        <v>18</v>
      </c>
      <c r="D28" s="5" t="s">
        <v>53</v>
      </c>
      <c r="E28" s="5" t="s">
        <v>43</v>
      </c>
      <c r="F28" s="5" t="s">
        <v>27</v>
      </c>
      <c r="G28" s="5">
        <v>4</v>
      </c>
      <c r="H28" s="5">
        <v>5</v>
      </c>
      <c r="I28" s="5">
        <v>5</v>
      </c>
      <c r="J28" s="5" t="s">
        <v>22</v>
      </c>
      <c r="K28" s="5">
        <v>5</v>
      </c>
      <c r="L28" s="5">
        <v>3</v>
      </c>
      <c r="M28" s="5">
        <v>4</v>
      </c>
      <c r="N28" s="5" t="s">
        <v>136</v>
      </c>
      <c r="O28" s="5" t="s">
        <v>137</v>
      </c>
      <c r="P28" s="5" t="s">
        <v>138</v>
      </c>
      <c r="Q28" s="5" t="s">
        <v>139</v>
      </c>
      <c r="R28" s="6">
        <v>10</v>
      </c>
    </row>
    <row r="29" spans="1:24">
      <c r="A29" s="7">
        <v>45456.603132233795</v>
      </c>
      <c r="B29" s="8">
        <v>15</v>
      </c>
      <c r="C29" s="8" t="s">
        <v>87</v>
      </c>
      <c r="D29" s="8" t="s">
        <v>53</v>
      </c>
      <c r="E29" s="8" t="s">
        <v>20</v>
      </c>
      <c r="F29" s="8" t="s">
        <v>27</v>
      </c>
      <c r="G29" s="8">
        <v>5</v>
      </c>
      <c r="H29" s="8">
        <v>4</v>
      </c>
      <c r="I29" s="8">
        <v>4</v>
      </c>
      <c r="J29" s="8" t="s">
        <v>22</v>
      </c>
      <c r="K29" s="8">
        <v>4</v>
      </c>
      <c r="L29" s="8">
        <v>4</v>
      </c>
      <c r="M29" s="8">
        <v>4</v>
      </c>
      <c r="N29" s="8" t="s">
        <v>140</v>
      </c>
      <c r="O29" s="8" t="s">
        <v>141</v>
      </c>
      <c r="P29" s="8" t="s">
        <v>142</v>
      </c>
      <c r="Q29" s="8" t="s">
        <v>143</v>
      </c>
      <c r="R29" s="9">
        <v>10</v>
      </c>
    </row>
    <row r="30" spans="1:24">
      <c r="A30" s="10">
        <v>45596.596325578706</v>
      </c>
      <c r="B30" s="11">
        <v>17</v>
      </c>
      <c r="C30" s="11" t="s">
        <v>82</v>
      </c>
      <c r="D30" s="11" t="s">
        <v>32</v>
      </c>
      <c r="E30" s="11" t="s">
        <v>43</v>
      </c>
      <c r="F30" s="11" t="s">
        <v>27</v>
      </c>
      <c r="G30" s="11">
        <v>5</v>
      </c>
      <c r="H30" s="11">
        <v>5</v>
      </c>
      <c r="I30" s="11">
        <v>5</v>
      </c>
      <c r="J30" s="11" t="s">
        <v>69</v>
      </c>
      <c r="K30" s="11">
        <v>2</v>
      </c>
      <c r="L30" s="11">
        <v>1</v>
      </c>
      <c r="M30" s="11">
        <v>4</v>
      </c>
      <c r="N30" s="11" t="s">
        <v>144</v>
      </c>
      <c r="O30" s="11" t="s">
        <v>145</v>
      </c>
      <c r="P30" s="11" t="s">
        <v>146</v>
      </c>
      <c r="Q30" s="11" t="s">
        <v>95</v>
      </c>
      <c r="R30" s="12">
        <v>10</v>
      </c>
      <c r="S30" s="13"/>
      <c r="T30" s="13"/>
      <c r="U30" s="13"/>
      <c r="V30" s="13"/>
      <c r="W30" s="13"/>
      <c r="X30" s="13"/>
    </row>
    <row r="31" spans="1:24">
      <c r="A31" s="7">
        <v>45729.66786725694</v>
      </c>
      <c r="B31" s="8">
        <v>17</v>
      </c>
      <c r="C31" s="8" t="s">
        <v>18</v>
      </c>
      <c r="D31" s="8" t="s">
        <v>32</v>
      </c>
      <c r="E31" s="8" t="s">
        <v>20</v>
      </c>
      <c r="F31" s="8" t="s">
        <v>58</v>
      </c>
      <c r="G31" s="8">
        <v>5</v>
      </c>
      <c r="H31" s="8">
        <v>5</v>
      </c>
      <c r="I31" s="8">
        <v>1</v>
      </c>
      <c r="J31" s="8" t="s">
        <v>22</v>
      </c>
      <c r="K31" s="8">
        <v>4</v>
      </c>
      <c r="L31" s="8">
        <v>3</v>
      </c>
      <c r="M31" s="8">
        <v>3</v>
      </c>
      <c r="N31" s="8" t="s">
        <v>147</v>
      </c>
      <c r="O31" s="8" t="s">
        <v>148</v>
      </c>
      <c r="P31" s="8" t="s">
        <v>37</v>
      </c>
      <c r="Q31" s="8" t="s">
        <v>37</v>
      </c>
      <c r="R31" s="9">
        <v>10</v>
      </c>
    </row>
    <row r="32" spans="1:24">
      <c r="A32" s="4">
        <v>45729.669609432865</v>
      </c>
      <c r="B32" s="5">
        <v>17</v>
      </c>
      <c r="C32" s="5" t="s">
        <v>18</v>
      </c>
      <c r="D32" s="5" t="s">
        <v>19</v>
      </c>
      <c r="E32" s="5" t="s">
        <v>43</v>
      </c>
      <c r="F32" s="5" t="s">
        <v>58</v>
      </c>
      <c r="G32" s="5">
        <v>5</v>
      </c>
      <c r="H32" s="5">
        <v>5</v>
      </c>
      <c r="I32" s="5">
        <v>5</v>
      </c>
      <c r="J32" s="5" t="s">
        <v>22</v>
      </c>
      <c r="K32" s="5">
        <v>5</v>
      </c>
      <c r="L32" s="5">
        <v>5</v>
      </c>
      <c r="M32" s="5">
        <v>5</v>
      </c>
      <c r="N32" s="5" t="s">
        <v>149</v>
      </c>
      <c r="O32" s="5" t="s">
        <v>150</v>
      </c>
      <c r="P32" s="5" t="s">
        <v>151</v>
      </c>
      <c r="Q32" s="5" t="s">
        <v>116</v>
      </c>
      <c r="R32" s="6">
        <v>10</v>
      </c>
    </row>
    <row r="33" spans="1:18">
      <c r="A33" s="7">
        <v>45729.670223865745</v>
      </c>
      <c r="B33" s="8">
        <v>18</v>
      </c>
      <c r="C33" s="8" t="s">
        <v>18</v>
      </c>
      <c r="D33" s="8" t="s">
        <v>32</v>
      </c>
      <c r="E33" s="8" t="s">
        <v>20</v>
      </c>
      <c r="F33" s="8" t="s">
        <v>27</v>
      </c>
      <c r="G33" s="8">
        <v>4</v>
      </c>
      <c r="H33" s="8">
        <v>5</v>
      </c>
      <c r="I33" s="8">
        <v>3</v>
      </c>
      <c r="J33" s="8" t="s">
        <v>69</v>
      </c>
      <c r="K33" s="8">
        <v>3</v>
      </c>
      <c r="L33" s="8">
        <v>2</v>
      </c>
      <c r="M33" s="8">
        <v>4</v>
      </c>
      <c r="N33" s="8" t="s">
        <v>152</v>
      </c>
      <c r="O33" s="8" t="s">
        <v>153</v>
      </c>
      <c r="P33" s="8" t="s">
        <v>154</v>
      </c>
      <c r="Q33" s="8" t="s">
        <v>155</v>
      </c>
      <c r="R33" s="9">
        <v>10</v>
      </c>
    </row>
    <row r="34" spans="1:18">
      <c r="A34" s="4">
        <v>45729.671126331014</v>
      </c>
      <c r="B34" s="5">
        <v>17</v>
      </c>
      <c r="C34" s="5" t="s">
        <v>18</v>
      </c>
      <c r="D34" s="5" t="s">
        <v>19</v>
      </c>
      <c r="E34" s="5" t="s">
        <v>43</v>
      </c>
      <c r="F34" s="5" t="s">
        <v>156</v>
      </c>
      <c r="G34" s="5">
        <v>5</v>
      </c>
      <c r="H34" s="5">
        <v>4</v>
      </c>
      <c r="I34" s="5">
        <v>5</v>
      </c>
      <c r="J34" s="5" t="s">
        <v>22</v>
      </c>
      <c r="K34" s="5">
        <v>1</v>
      </c>
      <c r="L34" s="5">
        <v>3</v>
      </c>
      <c r="M34" s="5">
        <v>5</v>
      </c>
      <c r="N34" s="5" t="s">
        <v>157</v>
      </c>
      <c r="O34" s="5" t="s">
        <v>158</v>
      </c>
      <c r="P34" s="5" t="s">
        <v>159</v>
      </c>
      <c r="Q34" s="5" t="s">
        <v>160</v>
      </c>
      <c r="R34" s="6">
        <v>8</v>
      </c>
    </row>
    <row r="35" spans="1:18">
      <c r="A35" s="7">
        <v>45729.673389687501</v>
      </c>
      <c r="B35" s="8">
        <v>17</v>
      </c>
      <c r="C35" s="8" t="s">
        <v>18</v>
      </c>
      <c r="D35" s="8" t="s">
        <v>47</v>
      </c>
      <c r="E35" s="8" t="s">
        <v>20</v>
      </c>
      <c r="F35" s="8" t="s">
        <v>161</v>
      </c>
      <c r="G35" s="8">
        <v>3</v>
      </c>
      <c r="H35" s="8">
        <v>3</v>
      </c>
      <c r="I35" s="8">
        <v>3</v>
      </c>
      <c r="J35" s="8" t="s">
        <v>22</v>
      </c>
      <c r="K35" s="8">
        <v>1</v>
      </c>
      <c r="L35" s="8">
        <v>1</v>
      </c>
      <c r="M35" s="8">
        <v>4</v>
      </c>
      <c r="N35" s="8" t="s">
        <v>162</v>
      </c>
      <c r="O35" s="8" t="s">
        <v>163</v>
      </c>
      <c r="P35" s="8" t="s">
        <v>164</v>
      </c>
      <c r="Q35" s="8" t="s">
        <v>165</v>
      </c>
      <c r="R35" s="9">
        <v>7</v>
      </c>
    </row>
    <row r="36" spans="1:18">
      <c r="A36" s="4">
        <v>45729.676062106482</v>
      </c>
      <c r="B36" s="5">
        <v>17</v>
      </c>
      <c r="C36" s="5" t="s">
        <v>18</v>
      </c>
      <c r="D36" s="5" t="s">
        <v>32</v>
      </c>
      <c r="E36" s="5" t="s">
        <v>20</v>
      </c>
      <c r="F36" s="5" t="s">
        <v>58</v>
      </c>
      <c r="G36" s="5">
        <v>4</v>
      </c>
      <c r="H36" s="5">
        <v>5</v>
      </c>
      <c r="I36" s="5">
        <v>3</v>
      </c>
      <c r="J36" s="5" t="s">
        <v>69</v>
      </c>
      <c r="K36" s="5">
        <v>3</v>
      </c>
      <c r="L36" s="5">
        <v>1</v>
      </c>
      <c r="M36" s="5">
        <v>1</v>
      </c>
      <c r="N36" s="5" t="s">
        <v>100</v>
      </c>
      <c r="O36" s="5" t="s">
        <v>166</v>
      </c>
      <c r="P36" s="5" t="s">
        <v>167</v>
      </c>
      <c r="Q36" s="5" t="s">
        <v>37</v>
      </c>
      <c r="R36" s="6">
        <v>10</v>
      </c>
    </row>
    <row r="37" spans="1:18">
      <c r="A37" s="7">
        <v>45729.677341261573</v>
      </c>
      <c r="B37" s="8">
        <v>16</v>
      </c>
      <c r="C37" s="8" t="s">
        <v>18</v>
      </c>
      <c r="D37" s="8" t="s">
        <v>38</v>
      </c>
      <c r="E37" s="8" t="s">
        <v>43</v>
      </c>
      <c r="F37" s="8" t="s">
        <v>168</v>
      </c>
      <c r="G37" s="8">
        <v>4</v>
      </c>
      <c r="H37" s="8">
        <v>5</v>
      </c>
      <c r="I37" s="8">
        <v>4</v>
      </c>
      <c r="J37" s="8" t="s">
        <v>22</v>
      </c>
      <c r="K37" s="8">
        <v>3</v>
      </c>
      <c r="L37" s="8">
        <v>3</v>
      </c>
      <c r="M37" s="8">
        <v>4</v>
      </c>
      <c r="N37" s="8" t="s">
        <v>169</v>
      </c>
      <c r="O37" s="8" t="s">
        <v>170</v>
      </c>
      <c r="P37" s="8" t="s">
        <v>37</v>
      </c>
      <c r="Q37" s="8" t="s">
        <v>171</v>
      </c>
      <c r="R37" s="9">
        <v>10</v>
      </c>
    </row>
    <row r="38" spans="1:18">
      <c r="A38" s="4">
        <v>45734.664101111106</v>
      </c>
      <c r="B38" s="5">
        <v>18</v>
      </c>
      <c r="C38" s="5" t="s">
        <v>18</v>
      </c>
      <c r="D38" s="5" t="s">
        <v>19</v>
      </c>
      <c r="E38" s="5" t="s">
        <v>43</v>
      </c>
      <c r="F38" s="5" t="s">
        <v>21</v>
      </c>
      <c r="G38" s="5">
        <v>5</v>
      </c>
      <c r="H38" s="5">
        <v>5</v>
      </c>
      <c r="I38" s="5">
        <v>5</v>
      </c>
      <c r="J38" s="5" t="s">
        <v>69</v>
      </c>
      <c r="K38" s="5">
        <v>5</v>
      </c>
      <c r="L38" s="5">
        <v>5</v>
      </c>
      <c r="M38" s="5">
        <v>5</v>
      </c>
      <c r="N38" s="5" t="s">
        <v>172</v>
      </c>
      <c r="O38" s="5" t="s">
        <v>173</v>
      </c>
      <c r="P38" s="5" t="s">
        <v>174</v>
      </c>
      <c r="Q38" s="5" t="s">
        <v>37</v>
      </c>
      <c r="R38" s="6">
        <v>8</v>
      </c>
    </row>
    <row r="39" spans="1:18">
      <c r="A39" s="7">
        <v>45734.664303368059</v>
      </c>
      <c r="B39" s="8">
        <v>17</v>
      </c>
      <c r="C39" s="8" t="s">
        <v>18</v>
      </c>
      <c r="D39" s="8" t="s">
        <v>19</v>
      </c>
      <c r="E39" s="8" t="s">
        <v>43</v>
      </c>
      <c r="F39" s="8" t="s">
        <v>175</v>
      </c>
      <c r="G39" s="8">
        <v>5</v>
      </c>
      <c r="H39" s="8">
        <v>5</v>
      </c>
      <c r="I39" s="8">
        <v>5</v>
      </c>
      <c r="J39" s="8" t="s">
        <v>69</v>
      </c>
      <c r="K39" s="8">
        <v>2</v>
      </c>
      <c r="L39" s="8">
        <v>3</v>
      </c>
      <c r="M39" s="8">
        <v>5</v>
      </c>
      <c r="N39" s="8" t="s">
        <v>176</v>
      </c>
      <c r="O39" s="8" t="s">
        <v>177</v>
      </c>
      <c r="P39" s="8" t="s">
        <v>37</v>
      </c>
      <c r="Q39" s="8" t="s">
        <v>178</v>
      </c>
      <c r="R39" s="9">
        <v>8</v>
      </c>
    </row>
    <row r="40" spans="1:18">
      <c r="A40" s="4">
        <v>45734.664904837962</v>
      </c>
      <c r="B40" s="5">
        <v>16</v>
      </c>
      <c r="C40" s="5" t="s">
        <v>18</v>
      </c>
      <c r="D40" s="5" t="s">
        <v>19</v>
      </c>
      <c r="E40" s="5" t="s">
        <v>20</v>
      </c>
      <c r="F40" s="5" t="s">
        <v>179</v>
      </c>
      <c r="G40" s="5">
        <v>5</v>
      </c>
      <c r="H40" s="5">
        <v>5</v>
      </c>
      <c r="I40" s="5">
        <v>5</v>
      </c>
      <c r="J40" s="5" t="s">
        <v>22</v>
      </c>
      <c r="K40" s="5">
        <v>4</v>
      </c>
      <c r="L40" s="5">
        <v>4</v>
      </c>
      <c r="M40" s="5">
        <v>5</v>
      </c>
      <c r="N40" s="5" t="s">
        <v>180</v>
      </c>
      <c r="O40" s="5" t="s">
        <v>37</v>
      </c>
      <c r="P40" s="5" t="s">
        <v>37</v>
      </c>
      <c r="Q40" s="5" t="s">
        <v>37</v>
      </c>
      <c r="R40" s="6">
        <v>10</v>
      </c>
    </row>
    <row r="41" spans="1:18">
      <c r="A41" s="7">
        <v>45734.666008333334</v>
      </c>
      <c r="B41" s="8">
        <v>18</v>
      </c>
      <c r="C41" s="8" t="s">
        <v>18</v>
      </c>
      <c r="D41" s="8" t="s">
        <v>32</v>
      </c>
      <c r="E41" s="8" t="s">
        <v>20</v>
      </c>
      <c r="F41" s="8" t="s">
        <v>27</v>
      </c>
      <c r="G41" s="8">
        <v>5</v>
      </c>
      <c r="H41" s="8">
        <v>5</v>
      </c>
      <c r="I41" s="8">
        <v>4</v>
      </c>
      <c r="J41" s="8" t="s">
        <v>69</v>
      </c>
      <c r="K41" s="8">
        <v>3</v>
      </c>
      <c r="L41" s="8">
        <v>2</v>
      </c>
      <c r="M41" s="8">
        <v>3</v>
      </c>
      <c r="N41" s="8" t="s">
        <v>181</v>
      </c>
      <c r="O41" s="8" t="s">
        <v>182</v>
      </c>
      <c r="P41" s="8" t="s">
        <v>183</v>
      </c>
      <c r="Q41" s="8" t="s">
        <v>184</v>
      </c>
      <c r="R41" s="9">
        <v>10</v>
      </c>
    </row>
    <row r="42" spans="1:18">
      <c r="A42" s="14">
        <v>45734.666275428244</v>
      </c>
      <c r="B42" s="15">
        <v>17</v>
      </c>
      <c r="C42" s="15" t="s">
        <v>18</v>
      </c>
      <c r="D42" s="15" t="s">
        <v>38</v>
      </c>
      <c r="E42" s="15" t="s">
        <v>20</v>
      </c>
      <c r="F42" s="15" t="s">
        <v>185</v>
      </c>
      <c r="G42" s="15">
        <v>4</v>
      </c>
      <c r="H42" s="15">
        <v>5</v>
      </c>
      <c r="I42" s="15">
        <v>5</v>
      </c>
      <c r="J42" s="15" t="s">
        <v>22</v>
      </c>
      <c r="K42" s="15">
        <v>3</v>
      </c>
      <c r="L42" s="15">
        <v>1</v>
      </c>
      <c r="M42" s="15">
        <v>3</v>
      </c>
      <c r="N42" s="15" t="s">
        <v>162</v>
      </c>
      <c r="O42" s="15" t="s">
        <v>186</v>
      </c>
      <c r="P42" s="15" t="s">
        <v>187</v>
      </c>
      <c r="Q42" s="15" t="s">
        <v>37</v>
      </c>
      <c r="R42" s="16">
        <v>6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K28"/>
  <sheetViews>
    <sheetView topLeftCell="A10" workbookViewId="0">
      <selection activeCell="I15" sqref="I15"/>
    </sheetView>
  </sheetViews>
  <sheetFormatPr defaultColWidth="12.5703125" defaultRowHeight="15.75" customHeight="1"/>
  <cols>
    <col min="2" max="2" width="15.42578125" customWidth="1"/>
    <col min="5" max="5" width="18.28515625" customWidth="1"/>
    <col min="7" max="8" width="10.42578125" customWidth="1"/>
    <col min="9" max="9" width="29.42578125" customWidth="1"/>
    <col min="10" max="10" width="17.42578125" customWidth="1"/>
    <col min="11" max="11" width="21.28515625" customWidth="1"/>
  </cols>
  <sheetData>
    <row r="2" spans="2:11">
      <c r="B2" s="17" t="s">
        <v>188</v>
      </c>
      <c r="C2" s="17">
        <v>28</v>
      </c>
      <c r="I2" s="18" t="s">
        <v>189</v>
      </c>
    </row>
    <row r="3" spans="2:11">
      <c r="I3" s="19" t="s">
        <v>190</v>
      </c>
      <c r="J3" s="19" t="s">
        <v>191</v>
      </c>
      <c r="K3" s="19" t="s">
        <v>192</v>
      </c>
    </row>
    <row r="4" spans="2:11">
      <c r="B4" s="37" t="s">
        <v>193</v>
      </c>
      <c r="C4" s="39"/>
      <c r="E4" s="38" t="s">
        <v>194</v>
      </c>
      <c r="F4" s="39"/>
      <c r="G4" s="20"/>
      <c r="H4" s="20">
        <v>1</v>
      </c>
      <c r="I4" s="21">
        <v>0</v>
      </c>
      <c r="J4" s="21">
        <v>0</v>
      </c>
      <c r="K4" s="21">
        <v>3</v>
      </c>
    </row>
    <row r="5" spans="2:11">
      <c r="B5" s="22" t="s">
        <v>87</v>
      </c>
      <c r="C5" s="22">
        <v>9</v>
      </c>
      <c r="E5" s="23" t="s">
        <v>195</v>
      </c>
      <c r="F5" s="24">
        <v>5</v>
      </c>
      <c r="G5" s="20"/>
      <c r="H5" s="20">
        <v>2</v>
      </c>
      <c r="I5" s="21">
        <v>0</v>
      </c>
      <c r="J5" s="21">
        <v>1</v>
      </c>
      <c r="K5" s="21">
        <v>0</v>
      </c>
    </row>
    <row r="6" spans="2:11">
      <c r="B6" s="22" t="s">
        <v>82</v>
      </c>
      <c r="C6" s="22">
        <v>5</v>
      </c>
      <c r="E6" s="23" t="s">
        <v>196</v>
      </c>
      <c r="F6" s="24">
        <v>10</v>
      </c>
      <c r="G6" s="20"/>
      <c r="H6" s="20">
        <v>3</v>
      </c>
      <c r="I6" s="21">
        <v>6</v>
      </c>
      <c r="J6" s="21">
        <v>1</v>
      </c>
      <c r="K6" s="21">
        <v>2</v>
      </c>
    </row>
    <row r="7" spans="2:11">
      <c r="B7" s="22" t="s">
        <v>18</v>
      </c>
      <c r="C7" s="22">
        <v>14</v>
      </c>
      <c r="E7" s="23" t="s">
        <v>197</v>
      </c>
      <c r="F7" s="25">
        <v>10</v>
      </c>
      <c r="G7" s="20"/>
      <c r="H7" s="20">
        <v>4</v>
      </c>
      <c r="I7" s="21">
        <v>8</v>
      </c>
      <c r="J7" s="21">
        <v>7</v>
      </c>
      <c r="K7" s="21">
        <v>7</v>
      </c>
    </row>
    <row r="8" spans="2:11">
      <c r="C8" s="26">
        <f>SUM(C5:C7)</f>
        <v>28</v>
      </c>
      <c r="E8" s="23" t="s">
        <v>198</v>
      </c>
      <c r="F8" s="24">
        <v>2</v>
      </c>
      <c r="G8" s="20"/>
      <c r="H8" s="20">
        <v>5</v>
      </c>
      <c r="I8" s="21">
        <v>14</v>
      </c>
      <c r="J8" s="21">
        <v>19</v>
      </c>
      <c r="K8" s="21">
        <v>16</v>
      </c>
    </row>
    <row r="9" spans="2:11">
      <c r="B9" s="27" t="s">
        <v>199</v>
      </c>
      <c r="C9" s="27"/>
      <c r="E9" s="23" t="s">
        <v>200</v>
      </c>
      <c r="F9" s="25">
        <v>1</v>
      </c>
    </row>
    <row r="10" spans="2:11">
      <c r="E10" s="26" t="s">
        <v>201</v>
      </c>
      <c r="F10" s="26">
        <f>SUM(F5:F9)</f>
        <v>28</v>
      </c>
      <c r="H10" s="26" t="s">
        <v>202</v>
      </c>
      <c r="I10" s="20">
        <f t="shared" ref="I10:K10" si="0">SUM(I4:I8)</f>
        <v>28</v>
      </c>
      <c r="J10" s="20">
        <f t="shared" si="0"/>
        <v>28</v>
      </c>
      <c r="K10" s="20">
        <f t="shared" si="0"/>
        <v>28</v>
      </c>
    </row>
    <row r="12" spans="2:11">
      <c r="B12" s="40" t="s">
        <v>203</v>
      </c>
      <c r="C12" s="39"/>
      <c r="E12" s="38" t="s">
        <v>204</v>
      </c>
      <c r="F12" s="39"/>
    </row>
    <row r="13" spans="2:11">
      <c r="B13" s="28" t="s">
        <v>22</v>
      </c>
      <c r="C13" s="28">
        <v>21</v>
      </c>
      <c r="E13" s="23" t="s">
        <v>205</v>
      </c>
      <c r="F13" s="24">
        <v>5</v>
      </c>
    </row>
    <row r="14" spans="2:11">
      <c r="B14" s="28" t="s">
        <v>69</v>
      </c>
      <c r="C14" s="28">
        <v>7</v>
      </c>
      <c r="E14" s="23" t="s">
        <v>206</v>
      </c>
      <c r="F14" s="24">
        <v>10</v>
      </c>
      <c r="I14" s="26" t="s">
        <v>17</v>
      </c>
    </row>
    <row r="15" spans="2:11">
      <c r="B15" s="28" t="s">
        <v>207</v>
      </c>
      <c r="C15" s="28">
        <v>0</v>
      </c>
      <c r="E15" s="23" t="s">
        <v>208</v>
      </c>
      <c r="F15" s="25">
        <v>12</v>
      </c>
      <c r="G15" s="26" t="s">
        <v>209</v>
      </c>
      <c r="I15" s="29" t="s">
        <v>210</v>
      </c>
      <c r="J15" s="29" t="s">
        <v>211</v>
      </c>
      <c r="K15" s="26" t="s">
        <v>212</v>
      </c>
    </row>
    <row r="16" spans="2:11">
      <c r="C16" s="26">
        <f>SUM(C13:C15)</f>
        <v>28</v>
      </c>
      <c r="E16" s="23" t="s">
        <v>213</v>
      </c>
      <c r="F16" s="24">
        <v>1</v>
      </c>
      <c r="I16" s="29">
        <v>7</v>
      </c>
      <c r="J16" s="29">
        <v>2</v>
      </c>
      <c r="K16" s="30">
        <f t="shared" ref="K16:K19" si="1">ROUND(J16*100/28,1)</f>
        <v>7.1</v>
      </c>
    </row>
    <row r="17" spans="5:11">
      <c r="E17" s="23" t="s">
        <v>214</v>
      </c>
      <c r="F17" s="25">
        <v>0</v>
      </c>
      <c r="I17" s="29">
        <v>8</v>
      </c>
      <c r="J17" s="29">
        <v>1</v>
      </c>
      <c r="K17" s="30">
        <f t="shared" si="1"/>
        <v>3.6</v>
      </c>
    </row>
    <row r="18" spans="5:11">
      <c r="E18" s="26" t="s">
        <v>201</v>
      </c>
      <c r="F18" s="26">
        <f>SUM(F13:F17)</f>
        <v>28</v>
      </c>
      <c r="I18" s="29">
        <v>9</v>
      </c>
      <c r="J18" s="29">
        <v>1</v>
      </c>
      <c r="K18" s="31">
        <f t="shared" si="1"/>
        <v>3.6</v>
      </c>
    </row>
    <row r="19" spans="5:11">
      <c r="I19" s="29">
        <v>10</v>
      </c>
      <c r="J19" s="29">
        <v>24</v>
      </c>
      <c r="K19" s="31">
        <f t="shared" si="1"/>
        <v>85.7</v>
      </c>
    </row>
    <row r="20" spans="5:11">
      <c r="I20" s="32" t="s">
        <v>215</v>
      </c>
      <c r="K20" s="26">
        <f>J20*100/28</f>
        <v>0</v>
      </c>
    </row>
    <row r="21" spans="5:11">
      <c r="I21" s="33" t="s">
        <v>216</v>
      </c>
      <c r="J21" s="34">
        <v>89.3</v>
      </c>
      <c r="K21" s="33" t="s">
        <v>217</v>
      </c>
    </row>
    <row r="22" spans="5:11">
      <c r="I22" s="33" t="s">
        <v>218</v>
      </c>
      <c r="J22" s="33">
        <v>10.7</v>
      </c>
      <c r="K22" s="33"/>
    </row>
    <row r="23" spans="5:11">
      <c r="I23" s="33" t="s">
        <v>219</v>
      </c>
      <c r="J23" s="33">
        <v>0</v>
      </c>
      <c r="K23" s="33"/>
    </row>
    <row r="25" spans="5:11">
      <c r="I25" s="35" t="s">
        <v>220</v>
      </c>
    </row>
    <row r="26" spans="5:11">
      <c r="I26" s="35" t="s">
        <v>221</v>
      </c>
    </row>
    <row r="27" spans="5:11">
      <c r="I27" s="35" t="s">
        <v>222</v>
      </c>
    </row>
    <row r="28" spans="5:11">
      <c r="I28" s="35" t="s">
        <v>223</v>
      </c>
    </row>
  </sheetData>
  <mergeCells count="4">
    <mergeCell ref="B4:C4"/>
    <mergeCell ref="E4:F4"/>
    <mergeCell ref="B12:C12"/>
    <mergeCell ref="E12:F12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F91A2A197B70449E957EF9DBEA1CFE" ma:contentTypeVersion="15" ma:contentTypeDescription="Crie um novo documento." ma:contentTypeScope="" ma:versionID="8c3a29c0219187ede44eb1f2c2a57c39">
  <xsd:schema xmlns:xsd="http://www.w3.org/2001/XMLSchema" xmlns:xs="http://www.w3.org/2001/XMLSchema" xmlns:p="http://schemas.microsoft.com/office/2006/metadata/properties" xmlns:ns2="d0b174da-b422-4080-979d-c8a5caafca73" xmlns:ns3="549eb841-cfd8-425f-9a65-c1e73962cedb" targetNamespace="http://schemas.microsoft.com/office/2006/metadata/properties" ma:root="true" ma:fieldsID="41000984e051365a4d1c58bba88f11e3" ns2:_="" ns3:_="">
    <xsd:import namespace="d0b174da-b422-4080-979d-c8a5caafca73"/>
    <xsd:import namespace="549eb841-cfd8-425f-9a65-c1e73962ce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174da-b422-4080-979d-c8a5caafc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c6e446-f6e6-4b9f-9713-d8f03b62c6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eb841-cfd8-425f-9a65-c1e73962ce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9ee2c5b-ea7d-4d4a-b539-625eeb8921d9}" ma:internalName="TaxCatchAll" ma:showField="CatchAllData" ma:web="549eb841-cfd8-425f-9a65-c1e73962ce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9eb841-cfd8-425f-9a65-c1e73962cedb" xsi:nil="true"/>
    <lcf76f155ced4ddcb4097134ff3c332f xmlns="d0b174da-b422-4080-979d-c8a5caafca7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93A576-710E-4B8B-AF98-610A8F4AE7EC}"/>
</file>

<file path=customXml/itemProps2.xml><?xml version="1.0" encoding="utf-8"?>
<ds:datastoreItem xmlns:ds="http://schemas.openxmlformats.org/officeDocument/2006/customXml" ds:itemID="{A84D50DF-73C8-4DF6-A8A6-BA33D68C41D7}"/>
</file>

<file path=customXml/itemProps3.xml><?xml version="1.0" encoding="utf-8"?>
<ds:datastoreItem xmlns:ds="http://schemas.openxmlformats.org/officeDocument/2006/customXml" ds:itemID="{DD7651C0-11E9-4E1D-8853-8483C88D4E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2025-03-24T14:36:26Z</dcterms:created>
  <dcterms:modified xsi:type="dcterms:W3CDTF">2026-05-14T22:24:38Z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0x0101009FF91A2A197B70449E957EF9DBEA1CFE</vt:lpwstr>
  </property>
  <property fmtid="{D5CDD505-2E9C-101B-9397-08002B2CF9AE}" pid="3" name="MediaServiceImageTags">
    <vt:lpwstr/>
  </property>
</Properties>
</file>